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6cdd4f8cc64c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wnership cost" sheetId="1" r:id="Rfbc2b39f136546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&quot;USD &quot;#,##0;(&quot;USD &quot;#,##0);&quot;USD –&quot;"/>
    <x:numFmt numFmtId="201" formatCode="&quot;USD &quot;#,##0.00;(&quot;USD &quot;#,##0.00);&quot;USD –&quot;"/>
    <x:numFmt numFmtId="202" formatCode="#,##0.0"/>
    <x:numFmt numFmtId="203" formatCode="0.0%"/>
  </x:numFmts>
  <x:fonts count="8">
    <x:font>
      <x:sz val="11"/>
      <x:name val="Carlito"/>
    </x:font>
    <x:font>
      <x:sz val="11"/>
      <x:color rgb="FF172334"/>
      <x:name val="Arial"/>
    </x:font>
    <x:font>
      <x:b/>
      <x:sz val="16"/>
      <x:color rgb="FF172334"/>
      <x:name val="Arial"/>
    </x:font>
    <x:font>
      <x:i/>
      <x:sz val="10"/>
      <x:color rgb="FF172334"/>
      <x:name val="Arial"/>
    </x:font>
    <x:font>
      <x:b/>
      <x:sz val="11"/>
      <x:color rgb="FFFFFFFF"/>
      <x:name val="Arial"/>
    </x:font>
    <x:font>
      <x:b/>
      <x:sz val="11"/>
      <x:color rgb="FFBBD9FF"/>
      <x:name val="Arial"/>
    </x:font>
    <x:font>
      <x:sz val="11"/>
      <x:color rgb="FF1553A2"/>
      <x:name val="Arial"/>
    </x:font>
    <x:font>
      <x:b/>
      <x:sz val="11"/>
      <x:color rgb="FF172334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53E56"/>
      </x:patternFill>
    </x:fill>
    <x:fill>
      <x:patternFill patternType="solid">
        <x:fgColor rgb="FFFFF2CC"/>
      </x:patternFill>
    </x:fill>
    <x:fill>
      <x:patternFill patternType="solid">
        <x:fgColor rgb="FFEAF0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1" fillId="3" borderId="0" xfId="0" applyNumberFormat="1" applyFont="1" applyFill="1" applyBorder="1"/>
    <x:xf numFmtId="0" fontId="6" fillId="3" borderId="0" xfId="0" applyNumberFormat="1" applyFont="1" applyFill="1" applyBorder="1"/>
    <x:xf numFmtId="0" fontId="1" fillId="4" borderId="0" xfId="0" applyNumberFormat="1" applyFont="1" applyFill="1" applyBorder="1"/>
    <x:xf numFmtId="0" fontId="7" fillId="4" borderId="0" xfId="0" applyNumberFormat="1" applyFont="1" applyFill="1" applyBorder="1"/>
    <x:xf numFmtId="200" fontId="1" fillId="0" borderId="0" xfId="0" applyNumberFormat="1" applyFont="1" applyFill="1" applyBorder="1"/>
    <x:xf numFmtId="200" fontId="7" fillId="4" borderId="0" xfId="0" applyNumberFormat="1" applyFont="1" applyFill="1" applyBorder="1"/>
    <x:xf numFmtId="201" fontId="6" fillId="3" borderId="0" xfId="0" applyNumberFormat="1" applyFont="1" applyFill="1" applyBorder="1"/>
    <x:xf numFmtId="201" fontId="1" fillId="0" borderId="0" xfId="0" applyNumberFormat="1" applyFont="1" applyFill="1" applyBorder="1"/>
    <x:xf numFmtId="201" fontId="7" fillId="4" borderId="0" xfId="0" applyNumberFormat="1" applyFont="1" applyFill="1" applyBorder="1"/>
    <x:xf numFmtId="201" fontId="4" fillId="2" borderId="0" xfId="0" applyNumberFormat="1" applyFont="1" applyFill="1" applyBorder="1"/>
    <x:xf numFmtId="202" fontId="6" fillId="3" borderId="0" xfId="0" applyNumberFormat="1" applyFont="1" applyFill="1" applyBorder="1"/>
    <x:xf numFmtId="203" fontId="6" fillId="3" borderId="0" xfId="0" applyNumberFormat="1" applyFont="1" applyFill="1" applyBorder="1"/>
    <x:xf numFmtId="0" fontId="5" fillId="2" borderId="0" xfId="0" applyNumberFormat="1" applyFont="1" applyFill="1" applyBorder="1" applyAlignment="1">
      <x:alignment horizontal="right"/>
    </x:xf>
    <x:xf numFmtId="200" fontId="1" fillId="0" borderId="0" xfId="0" applyNumberFormat="1" applyFont="1" applyFill="1" applyBorder="1" applyAlignment="1">
      <x:alignment horizontal="right"/>
    </x:xf>
    <x:xf numFmtId="200" fontId="7" fillId="4" borderId="0" xfId="0" applyNumberFormat="1" applyFont="1" applyFill="1" applyBorder="1" applyAlignment="1">
      <x:alignment horizontal="right"/>
    </x:xf>
    <x:xf numFmtId="201" fontId="6" fillId="3" borderId="0" xfId="0" applyNumberFormat="1" applyFont="1" applyFill="1" applyBorder="1" applyAlignment="1">
      <x:alignment horizontal="right"/>
    </x:xf>
    <x:xf numFmtId="202" fontId="6" fillId="3" borderId="0" xfId="0" applyNumberFormat="1" applyFont="1" applyFill="1" applyBorder="1" applyAlignment="1">
      <x:alignment horizontal="right"/>
    </x:xf>
    <x:xf numFmtId="201" fontId="1" fillId="0" borderId="0" xfId="0" applyNumberFormat="1" applyFont="1" applyFill="1" applyBorder="1" applyAlignment="1">
      <x:alignment horizontal="right"/>
    </x:xf>
    <x:xf numFmtId="201" fontId="7" fillId="4" borderId="0" xfId="0" applyNumberFormat="1" applyFont="1" applyFill="1" applyBorder="1" applyAlignment="1">
      <x:alignment horizontal="right"/>
    </x:xf>
    <x:xf numFmtId="201" fontId="4" fillId="2" borderId="0" xfId="0" applyNumberFormat="1" applyFont="1" applyFill="1" applyBorder="1" applyAlignment="1">
      <x:alignment horizontal="right"/>
    </x:xf>
    <x:xf numFmtId="203" fontId="6" fillId="3" borderId="0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7" fillId="4" borderId="0" xfId="0" applyNumberFormat="1" applyFont="1" applyFill="1" applyBorder="1" applyAlignment="1">
      <x:alignment vertical="center"/>
    </x:xf>
    <x:xf numFmtId="200" fontId="7" fillId="4" borderId="0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 applyAlignment="1">
      <x:alignment vertical="center"/>
    </x:xf>
    <x:xf numFmtId="201" fontId="6" fillId="3" borderId="0" xfId="0" applyNumberFormat="1" applyFont="1" applyFill="1" applyBorder="1" applyAlignment="1">
      <x:alignment horizontal="right" vertical="center"/>
    </x:xf>
    <x:xf numFmtId="202" fontId="6" fillId="3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7" fillId="4" borderId="0" xfId="0" applyNumberFormat="1" applyFont="1" applyFill="1" applyBorder="1" applyAlignment="1">
      <x:alignment horizontal="right" vertical="center"/>
    </x:xf>
    <x:xf numFmtId="201" fontId="4" fillId="2" borderId="0" xfId="0" applyNumberFormat="1" applyFont="1" applyFill="1" applyBorder="1" applyAlignment="1">
      <x:alignment horizontal="right" vertical="center"/>
    </x:xf>
    <x:xf numFmtId="203" fontId="6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7d7804bfe64d7e" /><Relationship Type="http://schemas.openxmlformats.org/officeDocument/2006/relationships/theme" Target="/xl/theme/theme1.xml" Id="R4162965b1e2540ed" /><Relationship Type="http://schemas.openxmlformats.org/officeDocument/2006/relationships/sharedStrings" Target="/xl/sharedStrings.xml" Id="R94049a4f397f47e9" /><Relationship Type="http://schemas.openxmlformats.org/officeDocument/2006/relationships/worksheet" Target="/xl/worksheets/sheet1.xml" Id="Rfbc2b39f136546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9" hidden="0" customWidth="1"/>
    <x:col min="2" max="2" width="18" hidden="0" customWidth="1"/>
    <x:col min="3" max="3" width="18" hidden="0" customWidth="1"/>
    <x:col min="4" max="4" width="18" hidden="0" customWidth="1"/>
    <x:col min="5" max="5" width="3" hidden="0" customWidth="1"/>
    <x:col min="6" max="6" width="68" hidden="0" customWidth="1"/>
  </x:cols>
  <x:sheetData>
    <x:row r="1" ht="25" customHeight="1">
      <x:c r="A1" s="28"/>
      <x:c r="B1" s="28"/>
      <x:c r="C1" s="28"/>
      <x:c r="D1" s="28"/>
      <x:c r="E1" s="28"/>
      <x:c r="F1" s="28"/>
    </x:row>
    <x:row r="2" ht="25" customHeight="1">
      <x:c r="A2" s="29" t="str">
        <x:v>Airplane ownership cost</x:v>
      </x:c>
      <x:c r="B2" s="28"/>
      <x:c r="C2" s="28"/>
      <x:c r="D2" s="28"/>
      <x:c r="E2" s="28"/>
      <x:c r="F2" s="28"/>
    </x:row>
    <x:row r="3" ht="25" customHeight="1">
      <x:c r="A3" s="28" t="str">
        <x:v>All amounts USD. Hypothetical inputs dated 10 October 2026.</x:v>
      </x:c>
      <x:c r="B3" s="28"/>
      <x:c r="C3" s="28"/>
      <x:c r="D3" s="28"/>
      <x:c r="E3" s="28"/>
      <x:c r="F3" s="28"/>
    </x:row>
    <x:row r="4" ht="25" customHeight="1">
      <x:c r="A4" s="28"/>
      <x:c r="B4" s="28"/>
      <x:c r="C4" s="28"/>
      <x:c r="D4" s="28"/>
      <x:c r="E4" s="28"/>
      <x:c r="F4" s="28"/>
    </x:row>
    <x:row r="5" ht="29" customHeight="1">
      <x:c r="A5" s="30" t="str">
        <x:v>Annual budgeting hours</x:v>
      </x:c>
      <x:c r="B5" s="31" t="n">
        <x:v>50</x:v>
      </x:c>
      <x:c r="C5" s="31" t="n">
        <x:v>100</x:v>
      </x:c>
      <x:c r="D5" s="31" t="n">
        <x:v>200</x:v>
      </x:c>
      <x:c r="E5" s="28"/>
      <x:c r="F5" s="28"/>
    </x:row>
    <x:row r="6" ht="25" customHeight="1">
      <x:c r="A6" s="28" t="str">
        <x:v>Fixed bills</x:v>
      </x:c>
      <x:c r="B6" s="32" t="n">
        <x:f>IF(ISNUMBER(B$5),$B$38,"Enter hours")</x:f>
        <x:v>9200</x:v>
      </x:c>
      <x:c r="C6" s="32" t="n">
        <x:f>IF(ISNUMBER(C$5),$B$38,"Enter hours")</x:f>
        <x:v>9200</x:v>
      </x:c>
      <x:c r="D6" s="32" t="n">
        <x:f>IF(ISNUMBER(D$5),$B$38,"Enter hours")</x:f>
        <x:v>9200</x:v>
      </x:c>
      <x:c r="E6" s="28"/>
      <x:c r="F6" s="28"/>
    </x:row>
    <x:row r="7" ht="25" customHeight="1">
      <x:c r="A7" s="28" t="str">
        <x:v>Fuel spending</x:v>
      </x:c>
      <x:c r="B7" s="32" t="n">
        <x:f>B$5*$B$40</x:f>
        <x:v>2850</x:v>
      </x:c>
      <x:c r="C7" s="32" t="n">
        <x:f>C$5*$B$40</x:f>
        <x:v>5700</x:v>
      </x:c>
      <x:c r="D7" s="32" t="n">
        <x:f>D$5*$B$40</x:f>
        <x:v>11400</x:v>
      </x:c>
      <x:c r="E7" s="28"/>
      <x:c r="F7" s="28"/>
    </x:row>
    <x:row r="8" ht="25" customHeight="1">
      <x:c r="A8" s="28" t="str">
        <x:v>Servicing and minor maintenance</x:v>
      </x:c>
      <x:c r="B8" s="32" t="n">
        <x:f>B$5*($B$42-$B$40)</x:f>
        <x:v>1000</x:v>
      </x:c>
      <x:c r="C8" s="32" t="n">
        <x:f>C$5*($B$42-$B$40)</x:f>
        <x:v>2000</x:v>
      </x:c>
      <x:c r="D8" s="32" t="n">
        <x:f>D$5*($B$42-$B$40)</x:f>
        <x:v>4000</x:v>
      </x:c>
      <x:c r="E8" s="28"/>
      <x:c r="F8" s="28"/>
    </x:row>
    <x:row r="9" ht="25" customHeight="1">
      <x:c r="A9" s="33" t="str">
        <x:v>Recurring cash spending</x:v>
      </x:c>
      <x:c r="B9" s="34" t="n">
        <x:f>B6+B7+B8</x:f>
        <x:v>13050</x:v>
      </x:c>
      <x:c r="C9" s="34" t="n">
        <x:f>C6+C7+C8</x:f>
        <x:v>16900</x:v>
      </x:c>
      <x:c r="D9" s="34" t="n">
        <x:f>D6+D7+D8</x:f>
        <x:v>24600</x:v>
      </x:c>
      <x:c r="E9" s="28"/>
      <x:c r="F9" s="28"/>
    </x:row>
    <x:row r="10" ht="25" customHeight="1">
      <x:c r="A10" s="28" t="str">
        <x:v>Engine reserve contribution</x:v>
      </x:c>
      <x:c r="B10" s="32" t="n">
        <x:f>B$5*$B$41</x:f>
        <x:v>1750</x:v>
      </x:c>
      <x:c r="C10" s="32" t="n">
        <x:f>C$5*$B$41</x:f>
        <x:v>3500</x:v>
      </x:c>
      <x:c r="D10" s="32" t="n">
        <x:f>D$5*$B$41</x:f>
        <x:v>7000</x:v>
      </x:c>
      <x:c r="E10" s="28"/>
      <x:c r="F10" s="28"/>
    </x:row>
    <x:row r="11" ht="25" customHeight="1">
      <x:c r="A11" s="33" t="str">
        <x:v>Operating funding</x:v>
      </x:c>
      <x:c r="B11" s="34" t="n">
        <x:f>B9+B10</x:f>
        <x:v>14800</x:v>
      </x:c>
      <x:c r="C11" s="34" t="n">
        <x:f>C9+C10</x:f>
        <x:v>20400</x:v>
      </x:c>
      <x:c r="D11" s="34" t="n">
        <x:f>D9+D10</x:f>
        <x:v>31600</x:v>
      </x:c>
      <x:c r="E11" s="28"/>
      <x:c r="F11" s="28"/>
    </x:row>
    <x:row r="12" ht="25" customHeight="1">
      <x:c r="A12" s="28" t="str">
        <x:v>Funding per hour</x:v>
      </x:c>
      <x:c r="B12" s="32" t="n">
        <x:f>IF(B$5=0,"n.a.",B11/B$5)</x:f>
        <x:v>296</x:v>
      </x:c>
      <x:c r="C12" s="32" t="n">
        <x:f>IF(C$5=0,"n.a.",C11/C$5)</x:f>
        <x:v>204</x:v>
      </x:c>
      <x:c r="D12" s="32" t="n">
        <x:f>IF(D$5=0,"n.a.",D11/D$5)</x:f>
        <x:v>158</x:v>
      </x:c>
      <x:c r="E12" s="28"/>
      <x:c r="F12" s="28"/>
    </x:row>
    <x:row r="13" ht="25" customHeight="1">
      <x:c r="A13" s="28" t="str">
        <x:v>Rental total</x:v>
      </x:c>
      <x:c r="B13" s="32" t="n">
        <x:f>IF(COUNT($B$31:$B$32)&lt;&gt;2,"Missing rental input",IF(ISNUMBER(B$5),B$5*$B$31+$B$32,"Enter hours"))</x:f>
        <x:v>9750</x:v>
      </x:c>
      <x:c r="C13" s="32" t="n">
        <x:f>IF(COUNT($B$31:$B$32)&lt;&gt;2,"Missing rental input",IF(ISNUMBER(C$5),C$5*$B$31+$B$32,"Enter hours"))</x:f>
        <x:v>19000</x:v>
      </x:c>
      <x:c r="D13" s="32" t="n">
        <x:f>IF(COUNT($B$31:$B$32)&lt;&gt;2,"Missing rental input",IF(ISNUMBER(D$5),D$5*$B$31+$B$32,"Enter hours"))</x:f>
        <x:v>37500</x:v>
      </x:c>
      <x:c r="E13" s="28"/>
      <x:c r="F13" s="28"/>
    </x:row>
    <x:row r="14" ht="25" customHeight="1">
      <x:c r="A14" s="28" t="str">
        <x:v>Equal-share funding per co-owner</x:v>
      </x:c>
      <x:c r="B14" s="32" t="n">
        <x:f>IF(COUNT($B$33:$B$34)&lt;&gt;2,"Missing group input",IF($B$33&lt;=0,"Set positive owners",$B$38/$B$33+$B$34+B$5*$B$43))</x:f>
        <x:v>8966.666666666666</x:v>
      </x:c>
      <x:c r="C14" s="32" t="n">
        <x:f>IF(COUNT($B$33:$B$34)&lt;&gt;2,"Missing group input",IF($B$33&lt;=0,"Set positive owners",$B$38/$B$33+$B$34+C$5*$B$43))</x:f>
        <x:v>14566.666666666666</x:v>
      </x:c>
      <x:c r="D14" s="32" t="n">
        <x:f>IF(COUNT($B$33:$B$34)&lt;&gt;2,"Missing group input",IF($B$33&lt;=0,"Set positive owners",$B$38/$B$33+$B$34+D$5*$B$43))</x:f>
        <x:v>25766.666666666668</x:v>
      </x:c>
      <x:c r="E14" s="28"/>
      <x:c r="F14" s="28"/>
    </x:row>
    <x:row r="15" ht="25" customHeight="1">
      <x:c r="A15" s="28" t="str">
        <x:v>Funding plus unexpected repair</x:v>
      </x:c>
      <x:c r="B15" s="32" t="n">
        <x:f>IF(ISNUMBER($B$35),B11+$B$35,"Enter repair amount")</x:f>
        <x:v>26800</x:v>
      </x:c>
      <x:c r="C15" s="32" t="n">
        <x:f>IF(ISNUMBER($B$35),C11+$B$35,"Enter repair amount")</x:f>
        <x:v>32400</x:v>
      </x:c>
      <x:c r="D15" s="32" t="n">
        <x:f>IF(ISNUMBER($B$35),D11+$B$35,"Enter repair amount")</x:f>
        <x:v>43600</x:v>
      </x:c>
      <x:c r="E15" s="28"/>
      <x:c r="F15" s="28"/>
    </x:row>
    <x:row r="16" ht="25" customHeight="1">
      <x:c r="A16" s="28" t="str">
        <x:v>Funding plus first-year catch-up</x:v>
      </x:c>
      <x:c r="B16" s="32" t="n">
        <x:f>IF(ISNUMBER($B$36),B11+$B$36,"Enter catch-up amount")</x:f>
        <x:v>21300</x:v>
      </x:c>
      <x:c r="C16" s="32" t="n">
        <x:f>IF(ISNUMBER($B$36),C11+$B$36,"Enter catch-up amount")</x:f>
        <x:v>26900</x:v>
      </x:c>
      <x:c r="D16" s="32" t="n">
        <x:f>IF(ISNUMBER($B$36),D11+$B$36,"Enter catch-up amount")</x:f>
        <x:v>38100</x:v>
      </x:c>
      <x:c r="E16" s="28"/>
      <x:c r="F16" s="28"/>
    </x:row>
    <x:row r="17" ht="25" customHeight="1">
      <x:c r="A17" s="33" t="str">
        <x:v>Economic comparison incl. cash capital</x:v>
      </x:c>
      <x:c r="B17" s="34" t="n">
        <x:f>B11+$B$44</x:f>
        <x:v>20700</x:v>
      </x:c>
      <x:c r="C17" s="34" t="n">
        <x:f>C11+$B$44</x:f>
        <x:v>26300</x:v>
      </x:c>
      <x:c r="D17" s="34" t="n">
        <x:f>D11+$B$44</x:f>
        <x:v>37500</x:v>
      </x:c>
      <x:c r="E17" s="28"/>
      <x:c r="F17" s="28"/>
    </x:row>
    <x:row r="18" ht="25" customHeight="1">
      <x:c r="A18" s="35" t="str">
        <x:v>Totals exclude acquisition cash and loan payments. Same hour basis for all options.</x:v>
      </x:c>
      <x:c r="B18" s="35"/>
      <x:c r="C18" s="35"/>
      <x:c r="D18" s="35"/>
      <x:c r="E18" s="28"/>
      <x:c r="F18" s="28"/>
    </x:row>
    <x:row r="19" ht="25" customHeight="1">
      <x:c r="A19" s="28"/>
      <x:c r="B19" s="28"/>
      <x:c r="C19" s="28"/>
      <x:c r="D19" s="28"/>
      <x:c r="E19" s="28"/>
      <x:c r="F19" s="28"/>
    </x:row>
    <x:row r="20" ht="29" customHeight="1">
      <x:c r="A20" s="30" t="str">
        <x:v>Editable assumptions</x:v>
      </x:c>
      <x:c r="B20" s="30" t="str">
        <x:v>Value</x:v>
      </x:c>
      <x:c r="C20" s="28"/>
      <x:c r="D20" s="28"/>
      <x:c r="E20" s="28"/>
      <x:c r="F20" s="28" t="str">
        <x:v>Evidence / replace with your written quotes</x:v>
      </x:c>
    </x:row>
    <x:row r="21" ht="25" customHeight="1">
      <x:c r="A21" s="28" t="str">
        <x:v>Hangar per month</x:v>
      </x:c>
      <x:c r="B21" s="36" t="n">
        <x:v>350</x:v>
      </x:c>
      <x:c r="C21" s="28"/>
      <x:c r="D21" s="28"/>
      <x:c r="E21" s="28"/>
      <x:c r="F21" s="28" t="str">
        <x:v>Hypothetical. Confirm an available unit and lease terms.</x:v>
      </x:c>
    </x:row>
    <x:row r="22" ht="25" customHeight="1">
      <x:c r="A22" s="28" t="str">
        <x:v>Owner insurance per year</x:v>
      </x:c>
      <x:c r="B22" s="36" t="n">
        <x:v>2000</x:v>
      </x:c>
      <x:c r="C22" s="28"/>
      <x:c r="D22" s="28"/>
      <x:c r="E22" s="28"/>
      <x:c r="F22" s="28" t="str">
        <x:v>Hypothetical. Quote exact aircraft, hull value and all pilots.</x:v>
      </x:c>
    </x:row>
    <x:row r="23" ht="25" customHeight="1">
      <x:c r="A23" s="28" t="str">
        <x:v>Annual inspection per year</x:v>
      </x:c>
      <x:c r="B23" s="36" t="n">
        <x:v>2400</x:v>
      </x:c>
      <x:c r="C23" s="28"/>
      <x:c r="D23" s="28"/>
      <x:c r="E23" s="28"/>
      <x:c r="F23" s="28" t="str">
        <x:v>Hypothetical. Unexpected corrections are separate.</x:v>
      </x:c>
    </x:row>
    <x:row r="24" ht="25" customHeight="1">
      <x:c r="A24" s="28" t="str">
        <x:v>Subscriptions / administration per year</x:v>
      </x:c>
      <x:c r="B24" s="36" t="n">
        <x:v>600</x:v>
      </x:c>
      <x:c r="C24" s="28"/>
      <x:c r="D24" s="28"/>
      <x:c r="E24" s="28"/>
      <x:c r="F24" s="28" t="str">
        <x:v>Hypothetical. Add other applicable fixed bills here.</x:v>
      </x:c>
    </x:row>
    <x:row r="25" ht="25" customHeight="1">
      <x:c r="A25" s="28" t="str">
        <x:v>Average fuel flow, L/h</x:v>
      </x:c>
      <x:c r="B25" s="37" t="n">
        <x:v>30</x:v>
      </x:c>
      <x:c r="C25" s="28"/>
      <x:c r="D25" s="28"/>
      <x:c r="E25" s="28"/>
      <x:c r="F25" s="28" t="str">
        <x:v>Hypothetical operating-profile average. 7.9 US gal/h.</x:v>
      </x:c>
    </x:row>
    <x:row r="26" ht="25" customHeight="1">
      <x:c r="A26" s="28" t="str">
        <x:v>Fuel price, USD/L</x:v>
      </x:c>
      <x:c r="B26" s="36" t="n">
        <x:v>1.9</x:v>
      </x:c>
      <x:c r="C26" s="28"/>
      <x:c r="D26" s="28"/>
      <x:c r="E26" s="28"/>
      <x:c r="F26" s="28" t="str">
        <x:v>Hypothetical. About USD 7.19 per US gallon.</x:v>
      </x:c>
    </x:row>
    <x:row r="27" ht="25" customHeight="1">
      <x:c r="A27" s="28" t="str">
        <x:v>Oil / routine servicing per hour</x:v>
      </x:c>
      <x:c r="B27" s="36" t="n">
        <x:v>8</x:v>
      </x:c>
      <x:c r="C27" s="28"/>
      <x:c r="D27" s="28"/>
      <x:c r="E27" s="28"/>
      <x:c r="F27" s="28" t="str">
        <x:v>Hypothetical. Replace from your maintenance forecast.</x:v>
      </x:c>
    </x:row>
    <x:row r="28" ht="25" customHeight="1">
      <x:c r="A28" s="28" t="str">
        <x:v>Minor maintenance per hour</x:v>
      </x:c>
      <x:c r="B28" s="36" t="n">
        <x:v>12</x:v>
      </x:c>
      <x:c r="C28" s="28"/>
      <x:c r="D28" s="28"/>
      <x:c r="E28" s="28"/>
      <x:c r="F28" s="28" t="str">
        <x:v>Hypothetical. Major unexpected repairs are separate.</x:v>
      </x:c>
    </x:row>
    <x:row r="29" ht="25" customHeight="1">
      <x:c r="A29" s="28" t="str">
        <x:v>Engine funding target</x:v>
      </x:c>
      <x:c r="B29" s="36" t="n">
        <x:v>35000</x:v>
      </x:c>
      <x:c r="C29" s="28"/>
      <x:c r="D29" s="28"/>
      <x:c r="E29" s="28"/>
      <x:c r="F29" s="28" t="str">
        <x:v>Hypothetical target, not a quotation or life prediction.</x:v>
      </x:c>
    </x:row>
    <x:row r="30" ht="25" customHeight="1">
      <x:c r="A30" s="28" t="str">
        <x:v>Further engine funding hours</x:v>
      </x:c>
      <x:c r="B30" s="37" t="n">
        <x:v>1000</x:v>
      </x:c>
      <x:c r="C30" s="28"/>
      <x:c r="D30" s="28"/>
      <x:c r="E30" s="28"/>
      <x:c r="F30" s="28" t="str">
        <x:v>Hypothetical horizon. Must be positive.</x:v>
      </x:c>
    </x:row>
    <x:row r="31" ht="25" customHeight="1">
      <x:c r="A31" s="28" t="str">
        <x:v>Wet rental per common budgeting hour</x:v>
      </x:c>
      <x:c r="B31" s="36" t="n">
        <x:v>185</x:v>
      </x:c>
      <x:c r="C31" s="28"/>
      <x:c r="D31" s="28"/>
      <x:c r="E31" s="28"/>
      <x:c r="F31" s="28" t="str">
        <x:v>Hypothetical. Align actual meter basis with owned aircraft.</x:v>
      </x:c>
    </x:row>
    <x:row r="32" ht="25" customHeight="1">
      <x:c r="A32" s="28" t="str">
        <x:v>Renter fixed costs per year</x:v>
      </x:c>
      <x:c r="B32" s="36" t="n">
        <x:v>500</x:v>
      </x:c>
      <x:c r="C32" s="28"/>
      <x:c r="D32" s="28"/>
      <x:c r="E32" s="28"/>
      <x:c r="F32" s="28" t="str">
        <x:v>Hypothetical. Replace with insurance / dues / checkout.</x:v>
      </x:c>
    </x:row>
    <x:row r="33" ht="25" customHeight="1">
      <x:c r="A33" s="28" t="str">
        <x:v>Equal co-owners</x:v>
      </x:c>
      <x:c r="B33" s="37" t="n">
        <x:v>3</x:v>
      </x:c>
      <x:c r="C33" s="28"/>
      <x:c r="D33" s="28"/>
      <x:c r="E33" s="28"/>
      <x:c r="F33" s="28" t="str">
        <x:v>Hypothetical. Positive whole number; confirm group insurance.</x:v>
      </x:c>
    </x:row>
    <x:row r="34" ht="25" customHeight="1">
      <x:c r="A34" s="28" t="str">
        <x:v>Admin per co-owner per year</x:v>
      </x:c>
      <x:c r="B34" s="36" t="n">
        <x:v>300</x:v>
      </x:c>
      <x:c r="C34" s="28"/>
      <x:c r="D34" s="28"/>
      <x:c r="E34" s="28"/>
      <x:c r="F34" s="28" t="str">
        <x:v>Hypothetical. Aircraft hours are the sum of owner hours.</x:v>
      </x:c>
    </x:row>
    <x:row r="35" ht="25" customHeight="1">
      <x:c r="A35" s="28" t="str">
        <x:v>Unexpected non-engine repair</x:v>
      </x:c>
      <x:c r="B35" s="36" t="n">
        <x:v>12000</x:v>
      </x:c>
      <x:c r="C35" s="28"/>
      <x:c r="D35" s="28"/>
      <x:c r="E35" s="28"/>
      <x:c r="F35" s="28" t="str">
        <x:v>Hypothetical repair-heavy case, beyond routine allowance.</x:v>
      </x:c>
    </x:row>
    <x:row r="36" ht="25" customHeight="1">
      <x:c r="A36" s="28" t="str">
        <x:v>First-year catch-up work</x:v>
      </x:c>
      <x:c r="B36" s="36" t="n">
        <x:v>6500</x:v>
      </x:c>
      <x:c r="C36" s="28"/>
      <x:c r="D36" s="28"/>
      <x:c r="E36" s="28"/>
      <x:c r="F36" s="28" t="str">
        <x:v>Hypothetical separate first-year case.</x:v>
      </x:c>
    </x:row>
    <x:row r="37" ht="25" customHeight="1">
      <x:c r="A37" s="28"/>
      <x:c r="B37" s="38"/>
      <x:c r="C37" s="28"/>
      <x:c r="D37" s="28"/>
      <x:c r="E37" s="28"/>
      <x:c r="F37" s="28"/>
    </x:row>
    <x:row r="38" ht="25" customHeight="1">
      <x:c r="A38" s="33" t="str">
        <x:v>Annual fixed total</x:v>
      </x:c>
      <x:c r="B38" s="39" t="n">
        <x:f>IF(COUNT(B21:B24)&lt;&gt;4,"Missing fixed input",B21*12+SUM(B22:B24))</x:f>
        <x:v>9200</x:v>
      </x:c>
      <x:c r="C38" s="28"/>
      <x:c r="D38" s="28"/>
      <x:c r="E38" s="28"/>
      <x:c r="F38" s="28"/>
    </x:row>
    <x:row r="39" ht="25" customHeight="1">
      <x:c r="A39" s="28"/>
      <x:c r="B39" s="38"/>
      <x:c r="C39" s="28"/>
      <x:c r="D39" s="28"/>
      <x:c r="E39" s="28"/>
      <x:c r="F39" s="28"/>
    </x:row>
    <x:row r="40" ht="25" customHeight="1">
      <x:c r="A40" s="28" t="str">
        <x:v>Fuel per hour</x:v>
      </x:c>
      <x:c r="B40" s="38" t="n">
        <x:f>IF(COUNT(B25:B26)&lt;&gt;2,"Missing fuel input",B25*B26)</x:f>
        <x:v>57</x:v>
      </x:c>
      <x:c r="C40" s="28"/>
      <x:c r="D40" s="28"/>
      <x:c r="E40" s="28"/>
      <x:c r="F40" s="28"/>
    </x:row>
    <x:row r="41" ht="25" customHeight="1">
      <x:c r="A41" s="28" t="str">
        <x:v>Engine reserve per hour</x:v>
      </x:c>
      <x:c r="B41" s="38" t="n">
        <x:f>IF(COUNT(B29:B30)&lt;&gt;2,"Missing reserve input",IF(B30&lt;=0,"Set positive hours",B29/B30))</x:f>
        <x:v>35</x:v>
      </x:c>
      <x:c r="C41" s="28"/>
      <x:c r="D41" s="28"/>
      <x:c r="E41" s="28"/>
      <x:c r="F41" s="28"/>
    </x:row>
    <x:row r="42" ht="25" customHeight="1">
      <x:c r="A42" s="28" t="str">
        <x:v>Recurring variable spending per hour</x:v>
      </x:c>
      <x:c r="B42" s="38" t="n">
        <x:f>IF(COUNT(B27:B28)&lt;&gt;2,"Missing service input",B40+SUM(B27:B28))</x:f>
        <x:v>77</x:v>
      </x:c>
      <x:c r="C42" s="28"/>
      <x:c r="D42" s="28"/>
      <x:c r="E42" s="28"/>
      <x:c r="F42" s="28"/>
    </x:row>
    <x:row r="43" ht="25" customHeight="1">
      <x:c r="A43" s="33" t="str">
        <x:v>Variable funding per hour</x:v>
      </x:c>
      <x:c r="B43" s="39" t="n">
        <x:f>B41+B42</x:f>
        <x:v>112</x:v>
      </x:c>
      <x:c r="C43" s="28"/>
      <x:c r="D43" s="28"/>
      <x:c r="E43" s="28"/>
      <x:c r="F43" s="28"/>
    </x:row>
    <x:row r="44" ht="25" customHeight="1">
      <x:c r="A44" s="33" t="str">
        <x:v>Annual cash-capital and value allowance</x:v>
      </x:c>
      <x:c r="B44" s="39" t="n">
        <x:f>IF(COUNT(B47:B49)&lt;&gt;3,"Missing capital input",B47*B48+B49)</x:f>
        <x:v>5900</x:v>
      </x:c>
      <x:c r="C44" s="28"/>
      <x:c r="D44" s="28"/>
      <x:c r="E44" s="28"/>
      <x:c r="F44" s="28"/>
    </x:row>
    <x:row r="45" ht="25" customHeight="1">
      <x:c r="A45" s="28"/>
      <x:c r="B45" s="38"/>
      <x:c r="C45" s="28"/>
      <x:c r="D45" s="28"/>
      <x:c r="E45" s="28"/>
      <x:c r="F45" s="28"/>
    </x:row>
    <x:row r="46" ht="29" customHeight="1">
      <x:c r="A46" s="30" t="str">
        <x:v>Cash-capital sensitivity inputs</x:v>
      </x:c>
      <x:c r="B46" s="40" t="str">
        <x:v>Value</x:v>
      </x:c>
      <x:c r="C46" s="28"/>
      <x:c r="D46" s="28"/>
      <x:c r="E46" s="28"/>
      <x:c r="F46" s="28"/>
    </x:row>
    <x:row r="47" ht="25" customHeight="1">
      <x:c r="A47" s="28" t="str">
        <x:v>Cash purchase price</x:v>
      </x:c>
      <x:c r="B47" s="36" t="n">
        <x:v>85000</x:v>
      </x:c>
      <x:c r="C47" s="28"/>
      <x:c r="D47" s="28"/>
      <x:c r="E47" s="28"/>
      <x:c r="F47" s="28" t="str">
        <x:v>Hypothetical. Purchase cash is excluded from operating totals.</x:v>
      </x:c>
    </x:row>
    <x:row r="48" ht="25" customHeight="1">
      <x:c r="A48" s="28" t="str">
        <x:v>Opportunity-cost rate per year</x:v>
      </x:c>
      <x:c r="B48" s="41" t="n">
        <x:v>0.04</x:v>
      </x:c>
      <x:c r="C48" s="28"/>
      <x:c r="D48" s="28"/>
      <x:c r="E48" s="28"/>
      <x:c r="F48" s="28" t="str">
        <x:v>Hypothetical rate, not an investment return promise.</x:v>
      </x:c>
    </x:row>
    <x:row r="49" ht="25" customHeight="1">
      <x:c r="A49" s="28" t="str">
        <x:v>Assumed annual value decline</x:v>
      </x:c>
      <x:c r="B49" s="36" t="n">
        <x:v>2500</x:v>
      </x:c>
      <x:c r="C49" s="28"/>
      <x:c r="D49" s="28"/>
      <x:c r="E49" s="28"/>
      <x:c r="F49" s="28" t="str">
        <x:v>Hypothetical resale assumption, not tax depreciation.</x:v>
      </x:c>
    </x:row>
    <x:row r="50" ht="25" customHeight="1">
      <x:c r="A50" s="28"/>
      <x:c r="B50" s="28"/>
      <x:c r="C50" s="28"/>
      <x:c r="D50" s="28"/>
      <x:c r="E50" s="28"/>
      <x:c r="F50" s="28"/>
    </x:row>
    <x:row r="51" ht="25" customHeight="1">
      <x:c r="A51" s="35" t="str">
        <x:v>Change blue cells. Keep fuel, maintenance, insurance and capital assumptions dated.</x:v>
      </x:c>
      <x:c r="B51" s="35"/>
      <x:c r="C51" s="35"/>
      <x:c r="D51" s="35"/>
      <x:c r="E51" s="28"/>
      <x:c r="F51" s="28"/>
    </x:row>
    <x:row r="52" ht="25" customHeight="1">
      <x:c r="A52" s="28"/>
      <x:c r="B52" s="28"/>
      <x:c r="C52" s="28"/>
      <x:c r="D52" s="28"/>
      <x:c r="E52" s="28"/>
      <x:c r="F52" s="28"/>
    </x:row>
  </x:sheetData>
  <x:mergeCells>
    <x:mergeCell ref="A3:D3"/>
    <x:mergeCell ref="A18:D18"/>
    <x:mergeCell ref="A51:D51"/>
  </x:mergeCells>
  <x:dataValidations count="7">
    <x:dataValidation type="decimal" operator="greaterThanOrEqual" sqref="B5:D5">
      <x:formula1>0</x:formula1>
    </x:dataValidation>
    <x:dataValidation type="decimal" operator="greaterThanOrEqual" sqref="B21:B29">
      <x:formula1>0</x:formula1>
    </x:dataValidation>
    <x:dataValidation type="decimal" operator="greaterThanOrEqual" sqref="B31:B32">
      <x:formula1>0</x:formula1>
    </x:dataValidation>
    <x:dataValidation type="decimal" operator="greaterThanOrEqual" sqref="B34:B36">
      <x:formula1>0</x:formula1>
    </x:dataValidation>
    <x:dataValidation type="decimal" operator="greaterThanOrEqual" sqref="B47:B49">
      <x:formula1>0</x:formula1>
    </x:dataValidation>
    <x:dataValidation type="decimal" operator="greaterThan" sqref="B30">
      <x:formula1>0</x:formula1>
    </x:dataValidation>
    <x:dataValidation type="whole" operator="greaterThanOrEqual" sqref="B33">
      <x:formula1>1</x:formula1>
    </x:dataValidation>
  </x:dataValidations>
  <x:pageMargins left="0.7" right="0.7" top="0.75" bottom="0.75" header="0.3" footer="0.3"/>
</x:worksheet>
</file>